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RM – Zájemci" sheetId="1" r:id="rId4"/>
    <sheet state="visible" name="📊 Dashboard" sheetId="2" r:id="rId5"/>
    <sheet state="visible" name="🍽️ Catering brief" sheetId="3" r:id="rId6"/>
  </sheets>
  <definedNames/>
  <calcPr/>
  <extLst>
    <ext uri="GoogleSheetsCustomDataVersion2">
      <go:sheetsCustomData xmlns:go="http://customooxmlschemas.google.com/" r:id="rId7" roundtripDataChecksum="EeLnhRA6WknhuREsSzGG26DZveZ2DXTMMtbZfLFCzRw="/>
    </ext>
  </extLst>
</workbook>
</file>

<file path=xl/sharedStrings.xml><?xml version="1.0" encoding="utf-8"?>
<sst xmlns="http://schemas.openxmlformats.org/spreadsheetml/2006/main" count="172" uniqueCount="115">
  <si>
    <t>TVŮJ ČLOVĚK — CRM Zájemci &amp; Účastníci</t>
  </si>
  <si>
    <t>Jana Štěpaníková · NetWalking Pro · Všechny akce</t>
  </si>
  <si>
    <t>◀ KLÍČOVÉ INFORMACE</t>
  </si>
  <si>
    <t>KONTAKT</t>
  </si>
  <si>
    <t>PROFIL</t>
  </si>
  <si>
    <t>PROCES &amp; PLATBA</t>
  </si>
  <si>
    <t>GDPR &amp; PROFILY</t>
  </si>
  <si>
    <t>HODNOCENÍ PO AKCI ▶</t>
  </si>
  <si>
    <t>ID</t>
  </si>
  <si>
    <t>Datum přidání</t>
  </si>
  <si>
    <t>Jméno</t>
  </si>
  <si>
    <t>Příjmení</t>
  </si>
  <si>
    <t>Město bydliště</t>
  </si>
  <si>
    <t>Akce / Město</t>
  </si>
  <si>
    <t>Kompatibilita</t>
  </si>
  <si>
    <t>Telefon</t>
  </si>
  <si>
    <t>Email</t>
  </si>
  <si>
    <t>Věk</t>
  </si>
  <si>
    <t>Pohlaví</t>
  </si>
  <si>
    <t>Povolání</t>
  </si>
  <si>
    <t>Co hledá</t>
  </si>
  <si>
    <t>Koníčky</t>
  </si>
  <si>
    <t>Zdroj</t>
  </si>
  <si>
    <t>Stav</t>
  </si>
  <si>
    <t>Schválen/a</t>
  </si>
  <si>
    <t>Zaplatil/a</t>
  </si>
  <si>
    <t>Cena zaplacena</t>
  </si>
  <si>
    <t>Poznámka</t>
  </si>
  <si>
    <t>GDPR souhlas</t>
  </si>
  <si>
    <t>Posl. kontakt</t>
  </si>
  <si>
    <t>Opak. účastník</t>
  </si>
  <si>
    <t>LinkedIn</t>
  </si>
  <si>
    <t>Instagram</t>
  </si>
  <si>
    <t>Hodnocení</t>
  </si>
  <si>
    <t>Poznámka po akci</t>
  </si>
  <si>
    <t>09.03.2026</t>
  </si>
  <si>
    <t>Jan</t>
  </si>
  <si>
    <t>Novák</t>
  </si>
  <si>
    <t>Ostrava</t>
  </si>
  <si>
    <t>Ostrava 23.4.</t>
  </si>
  <si>
    <t>Sedí s ID 3, 7</t>
  </si>
  <si>
    <t>+420 777 123 456</t>
  </si>
  <si>
    <t>jan@email.cz</t>
  </si>
  <si>
    <t>Muž</t>
  </si>
  <si>
    <t>IT manažer</t>
  </si>
  <si>
    <t>Byznys partner</t>
  </si>
  <si>
    <t>Golf, AI, cestování</t>
  </si>
  <si>
    <t>Zájem</t>
  </si>
  <si>
    <t>—</t>
  </si>
  <si>
    <t>✓ Souhlas</t>
  </si>
  <si>
    <t>✗ Ne</t>
  </si>
  <si>
    <t>linkedin.com/in/novak</t>
  </si>
  <si>
    <t>Petra</t>
  </si>
  <si>
    <t>Svobodová</t>
  </si>
  <si>
    <t>Opava</t>
  </si>
  <si>
    <t>Sedí s ID 5</t>
  </si>
  <si>
    <t>+420 603 987 654</t>
  </si>
  <si>
    <t>petra@firma.cz</t>
  </si>
  <si>
    <t>Žena</t>
  </si>
  <si>
    <t>Podnikatelka</t>
  </si>
  <si>
    <t>Parťák na výlety</t>
  </si>
  <si>
    <t>Hory, jachting</t>
  </si>
  <si>
    <t>Osobní zpráva</t>
  </si>
  <si>
    <t>Pre-screen</t>
  </si>
  <si>
    <t>@petra.svobodova</t>
  </si>
  <si>
    <t>Martin</t>
  </si>
  <si>
    <t>Horák</t>
  </si>
  <si>
    <t>Sedí s ID 1, 2</t>
  </si>
  <si>
    <t>+420 721 456 789</t>
  </si>
  <si>
    <t>martin@horak.cz</t>
  </si>
  <si>
    <t>Ředitel</t>
  </si>
  <si>
    <t>Kombinace</t>
  </si>
  <si>
    <t>Golf, víno</t>
  </si>
  <si>
    <t>Honza Krkoška</t>
  </si>
  <si>
    <t>TVŮJ ČLOVĚK — Přehled všech akcí</t>
  </si>
  <si>
    <t>▌ Ostrava 23.4.</t>
  </si>
  <si>
    <t>Celkem přihlášených</t>
  </si>
  <si>
    <t>Potvrzeno</t>
  </si>
  <si>
    <t>Zaplatilo</t>
  </si>
  <si>
    <t>Čekací listina</t>
  </si>
  <si>
    <t>▌ Ostrava květen</t>
  </si>
  <si>
    <t>▌ Ostrava červen</t>
  </si>
  <si>
    <t>▌ Praha červen</t>
  </si>
  <si>
    <t>▌ Praha červenec</t>
  </si>
  <si>
    <t>▌ Brno jaro</t>
  </si>
  <si>
    <t>▌ Brno podzim</t>
  </si>
  <si>
    <t>▌ Moře září 2026</t>
  </si>
  <si>
    <t>▌ Jachta 2026</t>
  </si>
  <si>
    <t>▌ Víkendovka říjen</t>
  </si>
  <si>
    <t>CATERING BRIEF — Tvůj člověk, 23. dubna 2026, Ostrava</t>
  </si>
  <si>
    <t>Počet hostů</t>
  </si>
  <si>
    <t>40–50 lidí</t>
  </si>
  <si>
    <t>Čas akce</t>
  </si>
  <si>
    <t>17:00 – 22:00</t>
  </si>
  <si>
    <t>Typ cateringu</t>
  </si>
  <si>
    <t>Raut — průběžný švédský stůl (ne plnohodnotná večeře)</t>
  </si>
  <si>
    <t>Studené občerstvení</t>
  </si>
  <si>
    <t>Kanapky, sýry, uzeniny, zelenina, dipy, pečivo</t>
  </si>
  <si>
    <t>Teplé věci</t>
  </si>
  <si>
    <t>Drobné teplé pochutiny — mini quiche, plněné houby apod.</t>
  </si>
  <si>
    <t>Nealko nápoje</t>
  </si>
  <si>
    <t>Voda, džusy, limonády, káva, čaj — po celou dobu</t>
  </si>
  <si>
    <t>Alkohol</t>
  </si>
  <si>
    <t>Bílé víno, červené víno, pivo, prosecco na přivítání</t>
  </si>
  <si>
    <t>Čas výdeje</t>
  </si>
  <si>
    <t>Průběžně od 16:00 do 21:30</t>
  </si>
  <si>
    <t>Dietní omezení</t>
  </si>
  <si>
    <t>Zjistit při registraci — políčko ve formuláři</t>
  </si>
  <si>
    <t>Personál po 18:00</t>
  </si>
  <si>
    <t>← DOPLNIT cenu po úterním hovoru s Honzou</t>
  </si>
  <si>
    <t>Orientační cena/os.</t>
  </si>
  <si>
    <t>← DOPLNIT po nacenění</t>
  </si>
  <si>
    <t>Celkový odhad</t>
  </si>
  <si>
    <t>← Počet hostů × cena/os.</t>
  </si>
  <si>
    <t>Žádné těžké jídlo — akce trvá 6 hodin, lidé by neměli být ospalí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</si>
</sst>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1">
    <font>
      <sz val="11.0"/>
      <color theme="1"/>
      <name val="Calibri"/>
      <scheme val="minor"/>
    </font>
    <font>
      <b/>
      <sz val="15.0"/>
      <color rgb="FFFFFFFF"/>
      <name val="Arial"/>
    </font>
    <font/>
    <font>
      <i/>
      <sz val="10.0"/>
      <color rgb="FF666666"/>
      <name val="Arial"/>
    </font>
    <font>
      <b/>
      <sz val="8.0"/>
      <color rgb="FF1A1A2E"/>
      <name val="Arial"/>
    </font>
    <font>
      <b/>
      <sz val="8.0"/>
      <color rgb="FFFFFFFF"/>
      <name val="Arial"/>
    </font>
    <font>
      <b/>
      <sz val="9.0"/>
      <color rgb="FFFFFFFF"/>
      <name val="Arial"/>
    </font>
    <font>
      <sz val="9.0"/>
      <color theme="1"/>
      <name val="Arial"/>
    </font>
    <font>
      <b/>
      <sz val="13.0"/>
      <color rgb="FFFFFFFF"/>
      <name val="Arial"/>
    </font>
    <font>
      <b/>
      <sz val="11.0"/>
      <color rgb="FFFFFFFF"/>
      <name val="Arial"/>
    </font>
    <font>
      <b/>
      <sz val="9.0"/>
      <color rgb="FF1A1A2E"/>
      <name val="Arial"/>
    </font>
    <font>
      <b/>
      <sz val="11.0"/>
      <color rgb="FFC0392B"/>
      <name val="Arial"/>
    </font>
    <font>
      <b/>
      <sz val="11.0"/>
      <color rgb="FF2980B9"/>
      <name val="Arial"/>
    </font>
    <font>
      <b/>
      <sz val="11.0"/>
      <color rgb="FF1A5276"/>
      <name val="Arial"/>
    </font>
    <font>
      <b/>
      <sz val="11.0"/>
      <color rgb="FFE67E22"/>
      <name val="Arial"/>
    </font>
    <font>
      <b/>
      <sz val="11.0"/>
      <color rgb="FF7D3C98"/>
      <name val="Arial"/>
    </font>
    <font>
      <b/>
      <sz val="11.0"/>
      <color rgb="FF1E8449"/>
      <name val="Arial"/>
    </font>
    <font>
      <b/>
      <sz val="12.0"/>
      <color rgb="FFFFFFFF"/>
      <name val="Arial"/>
    </font>
    <font>
      <b/>
      <sz val="10.0"/>
      <color rgb="FF1A1A2E"/>
      <name val="Arial"/>
    </font>
    <font>
      <sz val="10.0"/>
      <color rgb="FF333333"/>
      <name val="Arial"/>
    </font>
    <font>
      <b/>
      <sz val="10.0"/>
      <color rgb="FFCC0000"/>
      <name val="Arial"/>
    </font>
  </fonts>
  <fills count="17">
    <fill>
      <patternFill patternType="none"/>
    </fill>
    <fill>
      <patternFill patternType="lightGray"/>
    </fill>
    <fill>
      <patternFill patternType="solid">
        <fgColor rgb="FFC0392B"/>
        <bgColor rgb="FFC0392B"/>
      </patternFill>
    </fill>
    <fill>
      <patternFill patternType="solid">
        <fgColor rgb="FFFAF0F0"/>
        <bgColor rgb="FFFAF0F0"/>
      </patternFill>
    </fill>
    <fill>
      <patternFill patternType="solid">
        <fgColor rgb="FFE8EAED"/>
        <bgColor rgb="FFE8EAED"/>
      </patternFill>
    </fill>
    <fill>
      <patternFill patternType="solid">
        <fgColor rgb="FF1A5276"/>
        <bgColor rgb="FF1A5276"/>
      </patternFill>
    </fill>
    <fill>
      <patternFill patternType="solid">
        <fgColor rgb="FF1E8449"/>
        <bgColor rgb="FF1E8449"/>
      </patternFill>
    </fill>
    <fill>
      <patternFill patternType="solid">
        <fgColor rgb="FF7D3C98"/>
        <bgColor rgb="FF7D3C98"/>
      </patternFill>
    </fill>
    <fill>
      <patternFill patternType="solid">
        <fgColor rgb="FFB7770D"/>
        <bgColor rgb="FFB7770D"/>
      </patternFill>
    </fill>
    <fill>
      <patternFill patternType="solid">
        <fgColor rgb="FF1A6B1A"/>
        <bgColor rgb="FF1A6B1A"/>
      </patternFill>
    </fill>
    <fill>
      <patternFill patternType="solid">
        <fgColor rgb="FF1A1A2E"/>
        <bgColor rgb="FF1A1A2E"/>
      </patternFill>
    </fill>
    <fill>
      <patternFill patternType="solid">
        <fgColor rgb="FFF5F5F5"/>
        <bgColor rgb="FFF5F5F5"/>
      </patternFill>
    </fill>
    <fill>
      <patternFill patternType="solid">
        <fgColor rgb="FFFFFFFF"/>
        <bgColor rgb="FFFFFFFF"/>
      </patternFill>
    </fill>
    <fill>
      <patternFill patternType="solid">
        <fgColor rgb="FF2980B9"/>
        <bgColor rgb="FF2980B9"/>
      </patternFill>
    </fill>
    <fill>
      <patternFill patternType="solid">
        <fgColor rgb="FFE67E22"/>
        <bgColor rgb="FFE67E22"/>
      </patternFill>
    </fill>
    <fill>
      <patternFill patternType="solid">
        <fgColor rgb="FFF0F0F0"/>
        <bgColor rgb="FFF0F0F0"/>
      </patternFill>
    </fill>
    <fill>
      <patternFill patternType="solid">
        <fgColor rgb="FFFAFAFA"/>
        <bgColor rgb="FFFAFAFA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center" vertical="center"/>
    </xf>
    <xf borderId="1" fillId="4" fontId="4" numFmtId="0" xfId="0" applyAlignment="1" applyBorder="1" applyFill="1" applyFont="1">
      <alignment horizontal="center" vertical="center"/>
    </xf>
    <xf borderId="1" fillId="5" fontId="5" numFmtId="0" xfId="0" applyAlignment="1" applyBorder="1" applyFill="1" applyFont="1">
      <alignment horizontal="center" vertical="center"/>
    </xf>
    <xf borderId="1" fillId="6" fontId="5" numFmtId="0" xfId="0" applyAlignment="1" applyBorder="1" applyFill="1" applyFont="1">
      <alignment horizontal="center" vertical="center"/>
    </xf>
    <xf borderId="1" fillId="7" fontId="5" numFmtId="0" xfId="0" applyAlignment="1" applyBorder="1" applyFill="1" applyFont="1">
      <alignment horizontal="center" vertical="center"/>
    </xf>
    <xf borderId="1" fillId="8" fontId="5" numFmtId="0" xfId="0" applyAlignment="1" applyBorder="1" applyFill="1" applyFont="1">
      <alignment horizontal="center" vertical="center"/>
    </xf>
    <xf borderId="1" fillId="9" fontId="5" numFmtId="0" xfId="0" applyAlignment="1" applyBorder="1" applyFill="1" applyFont="1">
      <alignment horizontal="center" vertical="center"/>
    </xf>
    <xf borderId="4" fillId="10" fontId="6" numFmtId="0" xfId="0" applyAlignment="1" applyBorder="1" applyFill="1" applyFont="1">
      <alignment horizontal="center" shrinkToFit="0" vertical="center" wrapText="1"/>
    </xf>
    <xf borderId="4" fillId="5" fontId="6" numFmtId="0" xfId="0" applyAlignment="1" applyBorder="1" applyFont="1">
      <alignment horizontal="center" shrinkToFit="0" vertical="center" wrapText="1"/>
    </xf>
    <xf borderId="4" fillId="6" fontId="6" numFmtId="0" xfId="0" applyAlignment="1" applyBorder="1" applyFont="1">
      <alignment horizontal="center" shrinkToFit="0" vertical="center" wrapText="1"/>
    </xf>
    <xf borderId="4" fillId="7" fontId="6" numFmtId="0" xfId="0" applyAlignment="1" applyBorder="1" applyFont="1">
      <alignment horizontal="center" shrinkToFit="0" vertical="center" wrapText="1"/>
    </xf>
    <xf borderId="4" fillId="8" fontId="6" numFmtId="0" xfId="0" applyAlignment="1" applyBorder="1" applyFont="1">
      <alignment horizontal="center" shrinkToFit="0" vertical="center" wrapText="1"/>
    </xf>
    <xf borderId="4" fillId="9" fontId="6" numFmtId="0" xfId="0" applyAlignment="1" applyBorder="1" applyFont="1">
      <alignment horizontal="center" shrinkToFit="0" vertical="center" wrapText="1"/>
    </xf>
    <xf borderId="4" fillId="11" fontId="7" numFmtId="0" xfId="0" applyAlignment="1" applyBorder="1" applyFill="1" applyFont="1">
      <alignment shrinkToFit="0" vertical="center" wrapText="1"/>
    </xf>
    <xf borderId="4" fillId="12" fontId="7" numFmtId="0" xfId="0" applyAlignment="1" applyBorder="1" applyFill="1" applyFont="1">
      <alignment shrinkToFit="0" vertical="center" wrapText="1"/>
    </xf>
    <xf borderId="4" fillId="12" fontId="7" numFmtId="0" xfId="0" applyAlignment="1" applyBorder="1" applyFont="1">
      <alignment vertical="center"/>
    </xf>
    <xf borderId="4" fillId="11" fontId="7" numFmtId="0" xfId="0" applyAlignment="1" applyBorder="1" applyFont="1">
      <alignment vertical="center"/>
    </xf>
    <xf borderId="1" fillId="2" fontId="8" numFmtId="0" xfId="0" applyAlignment="1" applyBorder="1" applyFont="1">
      <alignment horizontal="center" vertical="center"/>
    </xf>
    <xf borderId="1" fillId="2" fontId="9" numFmtId="0" xfId="0" applyAlignment="1" applyBorder="1" applyFont="1">
      <alignment vertical="center"/>
    </xf>
    <xf borderId="4" fillId="11" fontId="10" numFmtId="0" xfId="0" applyAlignment="1" applyBorder="1" applyFont="1">
      <alignment vertical="center"/>
    </xf>
    <xf borderId="4" fillId="12" fontId="11" numFmtId="0" xfId="0" applyAlignment="1" applyBorder="1" applyFont="1">
      <alignment horizontal="center" vertical="center"/>
    </xf>
    <xf borderId="1" fillId="13" fontId="9" numFmtId="0" xfId="0" applyAlignment="1" applyBorder="1" applyFill="1" applyFont="1">
      <alignment vertical="center"/>
    </xf>
    <xf borderId="4" fillId="12" fontId="12" numFmtId="0" xfId="0" applyAlignment="1" applyBorder="1" applyFont="1">
      <alignment horizontal="center" vertical="center"/>
    </xf>
    <xf borderId="1" fillId="5" fontId="9" numFmtId="0" xfId="0" applyAlignment="1" applyBorder="1" applyFont="1">
      <alignment vertical="center"/>
    </xf>
    <xf borderId="4" fillId="12" fontId="13" numFmtId="0" xfId="0" applyAlignment="1" applyBorder="1" applyFont="1">
      <alignment horizontal="center" vertical="center"/>
    </xf>
    <xf borderId="1" fillId="14" fontId="9" numFmtId="0" xfId="0" applyAlignment="1" applyBorder="1" applyFill="1" applyFont="1">
      <alignment vertical="center"/>
    </xf>
    <xf borderId="4" fillId="12" fontId="14" numFmtId="0" xfId="0" applyAlignment="1" applyBorder="1" applyFont="1">
      <alignment horizontal="center" vertical="center"/>
    </xf>
    <xf borderId="1" fillId="7" fontId="9" numFmtId="0" xfId="0" applyAlignment="1" applyBorder="1" applyFont="1">
      <alignment vertical="center"/>
    </xf>
    <xf borderId="4" fillId="12" fontId="15" numFmtId="0" xfId="0" applyAlignment="1" applyBorder="1" applyFont="1">
      <alignment horizontal="center" vertical="center"/>
    </xf>
    <xf borderId="1" fillId="6" fontId="9" numFmtId="0" xfId="0" applyAlignment="1" applyBorder="1" applyFont="1">
      <alignment vertical="center"/>
    </xf>
    <xf borderId="4" fillId="12" fontId="16" numFmtId="0" xfId="0" applyAlignment="1" applyBorder="1" applyFont="1">
      <alignment horizontal="center" vertical="center"/>
    </xf>
    <xf borderId="1" fillId="10" fontId="17" numFmtId="0" xfId="0" applyAlignment="1" applyBorder="1" applyFont="1">
      <alignment horizontal="center" vertical="center"/>
    </xf>
    <xf borderId="4" fillId="15" fontId="18" numFmtId="0" xfId="0" applyAlignment="1" applyBorder="1" applyFill="1" applyFont="1">
      <alignment vertical="center"/>
    </xf>
    <xf borderId="4" fillId="12" fontId="19" numFmtId="0" xfId="0" applyAlignment="1" applyBorder="1" applyFont="1">
      <alignment shrinkToFit="0" vertical="center" wrapText="1"/>
    </xf>
    <xf borderId="4" fillId="12" fontId="18" numFmtId="0" xfId="0" applyAlignment="1" applyBorder="1" applyFont="1">
      <alignment vertical="center"/>
    </xf>
    <xf borderId="4" fillId="16" fontId="19" numFmtId="0" xfId="0" applyAlignment="1" applyBorder="1" applyFill="1" applyFont="1">
      <alignment readingOrder="0" shrinkToFit="0" vertical="center" wrapText="1"/>
    </xf>
    <xf borderId="4" fillId="16" fontId="19" numFmtId="0" xfId="0" applyAlignment="1" applyBorder="1" applyFont="1">
      <alignment shrinkToFit="0" vertical="center" wrapText="1"/>
    </xf>
    <xf borderId="4" fillId="16" fontId="20" numFmtId="0" xfId="0" applyAlignment="1" applyBorder="1" applyFont="1">
      <alignment shrinkToFit="0" vertical="center" wrapText="1"/>
    </xf>
    <xf borderId="4" fillId="12" fontId="20" numFmtId="0" xfId="0" applyAlignment="1" applyBorder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7.0" ySplit="4.0" topLeftCell="H5" activePane="bottomRight" state="frozen"/>
      <selection activeCell="H1" sqref="H1" pane="topRight"/>
      <selection activeCell="A5" sqref="A5" pane="bottomLeft"/>
      <selection activeCell="H5" sqref="H5" pane="bottomRight"/>
    </sheetView>
  </sheetViews>
  <sheetFormatPr customHeight="1" defaultColWidth="14.43" defaultRowHeight="15.0"/>
  <cols>
    <col customWidth="1" min="1" max="1" width="5.0"/>
    <col customWidth="1" min="2" max="2" width="13.0"/>
    <col customWidth="1" min="3" max="4" width="14.0"/>
    <col customWidth="1" min="5" max="5" width="15.0"/>
    <col customWidth="1" min="6" max="6" width="16.0"/>
    <col customWidth="1" min="7" max="7" width="22.0"/>
    <col customWidth="1" min="8" max="8" width="14.0"/>
    <col customWidth="1" min="9" max="9" width="24.0"/>
    <col customWidth="1" min="10" max="10" width="6.0"/>
    <col customWidth="1" min="11" max="11" width="9.0"/>
    <col customWidth="1" min="12" max="12" width="18.0"/>
    <col customWidth="1" min="13" max="13" width="22.0"/>
    <col customWidth="1" min="14" max="14" width="24.0"/>
    <col customWidth="1" min="15" max="16" width="14.0"/>
    <col customWidth="1" min="17" max="18" width="12.0"/>
    <col customWidth="1" min="19" max="19" width="14.0"/>
    <col customWidth="1" min="20" max="20" width="28.0"/>
    <col customWidth="1" min="21" max="21" width="12.0"/>
    <col customWidth="1" min="22" max="23" width="13.0"/>
    <col customWidth="1" min="24" max="24" width="22.0"/>
    <col customWidth="1" min="25" max="25" width="18.0"/>
    <col customWidth="1" min="26" max="26" width="14.0"/>
    <col customWidth="1" min="27" max="27" width="30.0"/>
  </cols>
  <sheetData>
    <row r="1" ht="36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</row>
    <row r="2" ht="18.0" customHeight="1">
      <c r="A2" s="4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3"/>
    </row>
    <row r="3" ht="13.5" customHeight="1">
      <c r="A3" s="5" t="s">
        <v>2</v>
      </c>
      <c r="B3" s="2"/>
      <c r="C3" s="2"/>
      <c r="D3" s="2"/>
      <c r="E3" s="2"/>
      <c r="F3" s="2"/>
      <c r="G3" s="3"/>
      <c r="H3" s="6" t="s">
        <v>3</v>
      </c>
      <c r="I3" s="3"/>
      <c r="J3" s="7" t="s">
        <v>4</v>
      </c>
      <c r="K3" s="2"/>
      <c r="L3" s="2"/>
      <c r="M3" s="2"/>
      <c r="N3" s="3"/>
      <c r="O3" s="8" t="s">
        <v>5</v>
      </c>
      <c r="P3" s="2"/>
      <c r="Q3" s="2"/>
      <c r="R3" s="2"/>
      <c r="S3" s="2"/>
      <c r="T3" s="3"/>
      <c r="U3" s="9" t="s">
        <v>6</v>
      </c>
      <c r="V3" s="2"/>
      <c r="W3" s="2"/>
      <c r="X3" s="2"/>
      <c r="Y3" s="3"/>
      <c r="Z3" s="10" t="s">
        <v>7</v>
      </c>
      <c r="AA3" s="3"/>
    </row>
    <row r="4" ht="30.0" customHeight="1">
      <c r="A4" s="11" t="s">
        <v>8</v>
      </c>
      <c r="B4" s="11" t="s">
        <v>9</v>
      </c>
      <c r="C4" s="11" t="s">
        <v>10</v>
      </c>
      <c r="D4" s="11" t="s">
        <v>11</v>
      </c>
      <c r="E4" s="11" t="s">
        <v>12</v>
      </c>
      <c r="F4" s="11" t="s">
        <v>13</v>
      </c>
      <c r="G4" s="11" t="s">
        <v>14</v>
      </c>
      <c r="H4" s="12" t="s">
        <v>15</v>
      </c>
      <c r="I4" s="12" t="s">
        <v>16</v>
      </c>
      <c r="J4" s="13" t="s">
        <v>17</v>
      </c>
      <c r="K4" s="13" t="s">
        <v>18</v>
      </c>
      <c r="L4" s="13" t="s">
        <v>19</v>
      </c>
      <c r="M4" s="13" t="s">
        <v>20</v>
      </c>
      <c r="N4" s="13" t="s">
        <v>21</v>
      </c>
      <c r="O4" s="14" t="s">
        <v>22</v>
      </c>
      <c r="P4" s="14" t="s">
        <v>23</v>
      </c>
      <c r="Q4" s="14" t="s">
        <v>24</v>
      </c>
      <c r="R4" s="14" t="s">
        <v>25</v>
      </c>
      <c r="S4" s="14" t="s">
        <v>26</v>
      </c>
      <c r="T4" s="14" t="s">
        <v>27</v>
      </c>
      <c r="U4" s="15" t="s">
        <v>28</v>
      </c>
      <c r="V4" s="15" t="s">
        <v>29</v>
      </c>
      <c r="W4" s="15" t="s">
        <v>30</v>
      </c>
      <c r="X4" s="15" t="s">
        <v>31</v>
      </c>
      <c r="Y4" s="15" t="s">
        <v>32</v>
      </c>
      <c r="Z4" s="16" t="s">
        <v>33</v>
      </c>
      <c r="AA4" s="16" t="s">
        <v>34</v>
      </c>
    </row>
    <row r="5" ht="19.5" customHeight="1">
      <c r="A5" s="17">
        <v>1.0</v>
      </c>
      <c r="B5" s="17" t="s">
        <v>35</v>
      </c>
      <c r="C5" s="17" t="s">
        <v>36</v>
      </c>
      <c r="D5" s="17" t="s">
        <v>37</v>
      </c>
      <c r="E5" s="17" t="s">
        <v>38</v>
      </c>
      <c r="F5" s="17" t="s">
        <v>39</v>
      </c>
      <c r="G5" s="17" t="s">
        <v>40</v>
      </c>
      <c r="H5" s="17" t="s">
        <v>41</v>
      </c>
      <c r="I5" s="17" t="s">
        <v>42</v>
      </c>
      <c r="J5" s="17">
        <v>42.0</v>
      </c>
      <c r="K5" s="17" t="s">
        <v>43</v>
      </c>
      <c r="L5" s="17" t="s">
        <v>44</v>
      </c>
      <c r="M5" s="17" t="s">
        <v>45</v>
      </c>
      <c r="N5" s="17" t="s">
        <v>46</v>
      </c>
      <c r="O5" s="17" t="s">
        <v>31</v>
      </c>
      <c r="P5" s="17" t="s">
        <v>47</v>
      </c>
      <c r="Q5" s="17" t="s">
        <v>48</v>
      </c>
      <c r="R5" s="17" t="s">
        <v>48</v>
      </c>
      <c r="S5" s="17"/>
      <c r="T5" s="17"/>
      <c r="U5" s="17" t="s">
        <v>49</v>
      </c>
      <c r="V5" s="17" t="s">
        <v>35</v>
      </c>
      <c r="W5" s="17" t="s">
        <v>50</v>
      </c>
      <c r="X5" s="17" t="s">
        <v>51</v>
      </c>
      <c r="Y5" s="17"/>
      <c r="Z5" s="17"/>
      <c r="AA5" s="17"/>
    </row>
    <row r="6" ht="19.5" customHeight="1">
      <c r="A6" s="18">
        <v>2.0</v>
      </c>
      <c r="B6" s="18" t="s">
        <v>35</v>
      </c>
      <c r="C6" s="18" t="s">
        <v>52</v>
      </c>
      <c r="D6" s="18" t="s">
        <v>53</v>
      </c>
      <c r="E6" s="18" t="s">
        <v>54</v>
      </c>
      <c r="F6" s="18" t="s">
        <v>39</v>
      </c>
      <c r="G6" s="18" t="s">
        <v>55</v>
      </c>
      <c r="H6" s="18" t="s">
        <v>56</v>
      </c>
      <c r="I6" s="18" t="s">
        <v>57</v>
      </c>
      <c r="J6" s="18">
        <v>35.0</v>
      </c>
      <c r="K6" s="18" t="s">
        <v>58</v>
      </c>
      <c r="L6" s="18" t="s">
        <v>59</v>
      </c>
      <c r="M6" s="18" t="s">
        <v>60</v>
      </c>
      <c r="N6" s="18" t="s">
        <v>61</v>
      </c>
      <c r="O6" s="18" t="s">
        <v>62</v>
      </c>
      <c r="P6" s="18" t="s">
        <v>63</v>
      </c>
      <c r="Q6" s="18" t="s">
        <v>48</v>
      </c>
      <c r="R6" s="18" t="s">
        <v>48</v>
      </c>
      <c r="S6" s="18"/>
      <c r="T6" s="18"/>
      <c r="U6" s="18" t="s">
        <v>49</v>
      </c>
      <c r="V6" s="18" t="s">
        <v>35</v>
      </c>
      <c r="W6" s="18" t="s">
        <v>50</v>
      </c>
      <c r="X6" s="18"/>
      <c r="Y6" s="18" t="s">
        <v>64</v>
      </c>
      <c r="Z6" s="18"/>
      <c r="AA6" s="18"/>
    </row>
    <row r="7" ht="19.5" customHeight="1">
      <c r="A7" s="17">
        <v>3.0</v>
      </c>
      <c r="B7" s="17" t="s">
        <v>35</v>
      </c>
      <c r="C7" s="17" t="s">
        <v>65</v>
      </c>
      <c r="D7" s="17" t="s">
        <v>66</v>
      </c>
      <c r="E7" s="17" t="s">
        <v>38</v>
      </c>
      <c r="F7" s="17" t="s">
        <v>39</v>
      </c>
      <c r="G7" s="17" t="s">
        <v>67</v>
      </c>
      <c r="H7" s="17" t="s">
        <v>68</v>
      </c>
      <c r="I7" s="17" t="s">
        <v>69</v>
      </c>
      <c r="J7" s="17">
        <v>48.0</v>
      </c>
      <c r="K7" s="17" t="s">
        <v>43</v>
      </c>
      <c r="L7" s="17" t="s">
        <v>70</v>
      </c>
      <c r="M7" s="17" t="s">
        <v>71</v>
      </c>
      <c r="N7" s="17" t="s">
        <v>72</v>
      </c>
      <c r="O7" s="17" t="s">
        <v>73</v>
      </c>
      <c r="P7" s="17" t="s">
        <v>47</v>
      </c>
      <c r="Q7" s="17" t="s">
        <v>48</v>
      </c>
      <c r="R7" s="17" t="s">
        <v>48</v>
      </c>
      <c r="S7" s="17"/>
      <c r="T7" s="17"/>
      <c r="U7" s="17" t="s">
        <v>49</v>
      </c>
      <c r="V7" s="17" t="s">
        <v>35</v>
      </c>
      <c r="W7" s="17" t="s">
        <v>50</v>
      </c>
      <c r="X7" s="17"/>
      <c r="Y7" s="17"/>
      <c r="Z7" s="17"/>
      <c r="AA7" s="17"/>
    </row>
    <row r="8" ht="18.0" customHeight="1">
      <c r="A8" s="19"/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</row>
    <row r="9" ht="18.0" customHeight="1">
      <c r="A9" s="20"/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</row>
    <row r="10" ht="18.0" customHeight="1">
      <c r="A10" s="19"/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</row>
    <row r="11" ht="18.0" customHeight="1">
      <c r="A11" s="20"/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</row>
    <row r="12" ht="18.0" customHeight="1">
      <c r="A12" s="19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</row>
    <row r="13" ht="18.0" customHeight="1">
      <c r="A13" s="20"/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</row>
    <row r="14" ht="18.0" customHeight="1">
      <c r="A14" s="19"/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</row>
    <row r="15" ht="18.0" customHeight="1">
      <c r="A15" s="20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</row>
    <row r="16" ht="18.0" customHeight="1">
      <c r="A16" s="19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</row>
    <row r="17" ht="18.0" customHeight="1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</row>
    <row r="18" ht="18.0" customHeight="1">
      <c r="A18" s="19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</row>
    <row r="19" ht="18.0" customHeight="1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</row>
    <row r="20" ht="18.0" customHeight="1">
      <c r="A20" s="19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</row>
    <row r="21" ht="18.0" customHeight="1">
      <c r="A21" s="20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</row>
    <row r="22" ht="18.0" customHeight="1">
      <c r="A22" s="19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</row>
    <row r="23" ht="18.0" customHeight="1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</row>
    <row r="24" ht="18.0" customHeight="1">
      <c r="A24" s="19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</row>
    <row r="25" ht="18.0" customHeight="1">
      <c r="A25" s="20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</row>
    <row r="26" ht="18.0" customHeight="1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</row>
    <row r="27" ht="18.0" customHeight="1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</row>
    <row r="28" ht="18.0" customHeight="1">
      <c r="A28" s="19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</row>
    <row r="29" ht="18.0" customHeight="1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</row>
    <row r="30" ht="18.0" customHeight="1">
      <c r="A30" s="19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</row>
    <row r="31" ht="18.0" customHeight="1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</row>
    <row r="32" ht="18.0" customHeight="1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</row>
    <row r="33" ht="18.0" customHeight="1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</row>
    <row r="34" ht="18.0" customHeight="1">
      <c r="A34" s="19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</row>
    <row r="35" ht="18.0" customHeight="1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</row>
    <row r="36" ht="18.0" customHeight="1">
      <c r="A36" s="19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</row>
    <row r="37" ht="18.0" customHeight="1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</row>
    <row r="38" ht="18.0" customHeight="1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</row>
    <row r="39" ht="18.0" customHeight="1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</row>
    <row r="40" ht="18.0" customHeight="1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</row>
    <row r="41" ht="18.0" customHeight="1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</row>
    <row r="42" ht="18.0" customHeight="1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</row>
    <row r="43" ht="18.0" customHeight="1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</row>
    <row r="44" ht="18.0" customHeight="1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</row>
    <row r="45" ht="18.0" customHeight="1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</row>
    <row r="46" ht="18.0" customHeight="1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</row>
    <row r="47" ht="18.0" customHeight="1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</row>
    <row r="48" ht="18.0" customHeight="1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</row>
    <row r="49" ht="18.0" customHeight="1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</row>
    <row r="50" ht="18.0" customHeight="1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</row>
    <row r="51" ht="18.0" customHeight="1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</row>
    <row r="52" ht="18.0" customHeight="1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</row>
    <row r="53" ht="18.0" customHeight="1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</row>
    <row r="54" ht="18.0" customHeight="1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</row>
    <row r="55" ht="18.0" customHeight="1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</row>
    <row r="56" ht="18.0" customHeight="1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</row>
    <row r="57" ht="18.0" customHeight="1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</row>
    <row r="58" ht="18.0" customHeight="1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</row>
    <row r="59" ht="18.0" customHeight="1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</row>
    <row r="60" ht="18.0" customHeight="1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</row>
    <row r="61" ht="18.0" customHeight="1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</row>
    <row r="62" ht="18.0" customHeight="1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</row>
    <row r="63" ht="18.0" customHeight="1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</row>
    <row r="64" ht="18.0" customHeight="1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</row>
    <row r="65" ht="18.0" customHeight="1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</row>
    <row r="66" ht="18.0" customHeight="1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</row>
    <row r="67" ht="18.0" customHeight="1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</row>
    <row r="68" ht="18.0" customHeight="1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</row>
    <row r="69" ht="18.0" customHeight="1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</row>
    <row r="70" ht="18.0" customHeight="1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</row>
    <row r="71" ht="18.0" customHeight="1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</row>
    <row r="72" ht="18.0" customHeight="1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</row>
    <row r="73" ht="18.0" customHeight="1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</row>
    <row r="74" ht="18.0" customHeight="1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</row>
    <row r="75" ht="18.0" customHeight="1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</row>
    <row r="76" ht="18.0" customHeight="1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</row>
    <row r="77" ht="18.0" customHeight="1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</row>
    <row r="78" ht="18.0" customHeight="1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</row>
    <row r="79" ht="18.0" customHeight="1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</row>
    <row r="80" ht="18.0" customHeight="1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</row>
    <row r="81" ht="18.0" customHeight="1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</row>
    <row r="82" ht="18.0" customHeight="1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</row>
    <row r="83" ht="18.0" customHeight="1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</row>
    <row r="84" ht="18.0" customHeight="1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</row>
    <row r="85" ht="18.0" customHeight="1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</row>
    <row r="86" ht="18.0" customHeight="1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</row>
    <row r="87" ht="18.0" customHeight="1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</row>
    <row r="88" ht="18.0" customHeight="1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</row>
    <row r="89" ht="18.0" customHeight="1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</row>
    <row r="90" ht="18.0" customHeight="1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</row>
    <row r="91" ht="18.0" customHeight="1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</row>
    <row r="92" ht="18.0" customHeight="1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</row>
    <row r="93" ht="18.0" customHeight="1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</row>
    <row r="94" ht="18.0" customHeight="1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</row>
    <row r="95" ht="18.0" customHeight="1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</row>
    <row r="96" ht="18.0" customHeight="1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</row>
    <row r="97" ht="18.0" customHeight="1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</row>
    <row r="98" ht="18.0" customHeight="1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</row>
    <row r="99" ht="18.0" customHeight="1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</row>
    <row r="100" ht="18.0" customHeight="1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</row>
    <row r="101" ht="18.0" customHeight="1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</row>
    <row r="102" ht="18.0" customHeight="1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</row>
    <row r="103" ht="18.0" customHeight="1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</row>
    <row r="104" ht="18.0" customHeight="1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</row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H3:I3"/>
    <mergeCell ref="J3:N3"/>
    <mergeCell ref="O3:T3"/>
    <mergeCell ref="U3:Y3"/>
    <mergeCell ref="Z3:AA3"/>
    <mergeCell ref="A1:T1"/>
    <mergeCell ref="A2:T2"/>
    <mergeCell ref="A3:G3"/>
  </mergeCells>
  <dataValidations>
    <dataValidation type="list" allowBlank="1" sqref="W5:W104">
      <formula1>"✓ Ano,✗ Ne"</formula1>
    </dataValidation>
    <dataValidation type="list" allowBlank="1" sqref="K5:K104">
      <formula1>"Žena,Muž,Neuvedeno"</formula1>
    </dataValidation>
    <dataValidation type="list" allowBlank="1" sqref="M5:M104">
      <formula1>"Parťák na výlety,Parťák na hory,Jachting,Golf,Romantický vztah,Byznys partner,Kamarád/ka,Kombinace,Jen zvědavý/á"</formula1>
    </dataValidation>
    <dataValidation type="list" allowBlank="1" sqref="O5:O104">
      <formula1>"LinkedIn,Facebook,Instagram,Osobní zpráva,Honza Krkoška,Doporučení,Jiné"</formula1>
    </dataValidation>
    <dataValidation type="list" allowBlank="1" sqref="P5:P104">
      <formula1>"Zájem,Pre-screen,Schválen/a,Potvrzeno,Čekací listina,Odmítnuto,Storno"</formula1>
    </dataValidation>
    <dataValidation type="list" allowBlank="1" sqref="U5:U104">
      <formula1>"✓ Souhlas,✗ Bez souhlasu,—"</formula1>
    </dataValidation>
    <dataValidation type="list" allowBlank="1" sqref="F5:F104">
      <formula1>"Ostrava 23.4.,Praha červen,Ostrava červenec,Víkendovka říjen,Moře 2027,Jachta 2027"</formula1>
    </dataValidation>
    <dataValidation type="list" allowBlank="1" sqref="Q5:R104">
      <formula1>"✓ Ano,✗ Ne,—"</formula1>
    </dataValidation>
    <dataValidation type="list" allowBlank="1" sqref="Z5:Z104">
      <formula1>"⭐⭐⭐ Pozvat vždy,⭐⭐ Pozvat příště,⭐ Zvážit,❌ Nezval/a více"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0"/>
    <col customWidth="1" min="2" max="2" width="22.0"/>
    <col customWidth="1" min="3" max="3" width="10.0"/>
    <col customWidth="1" min="4" max="26" width="8.71"/>
  </cols>
  <sheetData>
    <row r="1" ht="30.0" customHeight="1">
      <c r="A1" s="21" t="s">
        <v>74</v>
      </c>
      <c r="B1" s="2"/>
      <c r="C1" s="2"/>
      <c r="D1" s="2"/>
      <c r="E1" s="2"/>
      <c r="F1" s="3"/>
    </row>
    <row r="3" ht="24.0" customHeight="1">
      <c r="A3" s="22" t="s">
        <v>75</v>
      </c>
      <c r="B3" s="2"/>
      <c r="C3" s="2"/>
      <c r="D3" s="2"/>
      <c r="E3" s="2"/>
      <c r="F3" s="3"/>
    </row>
    <row r="4" ht="19.5" customHeight="1">
      <c r="B4" s="23" t="s">
        <v>76</v>
      </c>
      <c r="C4" s="24">
        <f>COUNTIF('CRM – Zájemci'!F5:F104,"Ostrava 23.4.")</f>
        <v>3</v>
      </c>
    </row>
    <row r="5" ht="19.5" customHeight="1">
      <c r="B5" s="23" t="s">
        <v>77</v>
      </c>
      <c r="C5" s="24">
        <f>COUNTIFS('CRM – Zájemci'!F5:F104,"Ostrava 23.4.",'CRM – Zájemci'!P5:P104,"Potvrzeno")</f>
        <v>0</v>
      </c>
    </row>
    <row r="6" ht="19.5" customHeight="1">
      <c r="B6" s="23" t="s">
        <v>78</v>
      </c>
      <c r="C6" s="24">
        <f>COUNTIFS('CRM – Zájemci'!F5:F104,"Ostrava 23.4.",'CRM – Zájemci'!R5:R104,"✓ Ano")</f>
        <v>0</v>
      </c>
    </row>
    <row r="7" ht="19.5" customHeight="1">
      <c r="B7" s="23" t="s">
        <v>79</v>
      </c>
      <c r="C7" s="24">
        <f>COUNTIFS('CRM – Zájemci'!F5:F104,"Ostrava 23.4.",'CRM – Zájemci'!P5:P104,"Čekací listina")</f>
        <v>0</v>
      </c>
    </row>
    <row r="9" ht="24.0" customHeight="1">
      <c r="A9" s="22" t="s">
        <v>80</v>
      </c>
      <c r="B9" s="2"/>
      <c r="C9" s="2"/>
      <c r="D9" s="2"/>
      <c r="E9" s="2"/>
      <c r="F9" s="3"/>
    </row>
    <row r="10" ht="19.5" customHeight="1">
      <c r="B10" s="23" t="s">
        <v>76</v>
      </c>
      <c r="C10" s="24">
        <f>COUNTIF('CRM – Zájemci'!F5:F104,"Ostrava květen")</f>
        <v>0</v>
      </c>
    </row>
    <row r="11" ht="19.5" customHeight="1">
      <c r="B11" s="23" t="s">
        <v>77</v>
      </c>
      <c r="C11" s="24">
        <f>COUNTIFS('CRM – Zájemci'!F5:F104,"Ostrava květen",'CRM – Zájemci'!P5:P104,"Potvrzeno")</f>
        <v>0</v>
      </c>
    </row>
    <row r="12" ht="19.5" customHeight="1">
      <c r="B12" s="23" t="s">
        <v>78</v>
      </c>
      <c r="C12" s="24">
        <f>COUNTIFS('CRM – Zájemci'!F5:F104,"Ostrava květen",'CRM – Zájemci'!R5:R104,"✓ Ano")</f>
        <v>0</v>
      </c>
    </row>
    <row r="13" ht="19.5" customHeight="1">
      <c r="B13" s="23" t="s">
        <v>79</v>
      </c>
      <c r="C13" s="24">
        <f>COUNTIFS('CRM – Zájemci'!F5:F104,"Ostrava květen",'CRM – Zájemci'!P5:P104,"Čekací listina")</f>
        <v>0</v>
      </c>
    </row>
    <row r="15" ht="24.0" customHeight="1">
      <c r="A15" s="22" t="s">
        <v>81</v>
      </c>
      <c r="B15" s="2"/>
      <c r="C15" s="2"/>
      <c r="D15" s="2"/>
      <c r="E15" s="2"/>
      <c r="F15" s="3"/>
    </row>
    <row r="16" ht="19.5" customHeight="1">
      <c r="B16" s="23" t="s">
        <v>76</v>
      </c>
      <c r="C16" s="24">
        <f>COUNTIF('CRM – Zájemci'!F5:F104,"Ostrava červen")</f>
        <v>0</v>
      </c>
    </row>
    <row r="17" ht="19.5" customHeight="1">
      <c r="B17" s="23" t="s">
        <v>77</v>
      </c>
      <c r="C17" s="24">
        <f>COUNTIFS('CRM – Zájemci'!F5:F104,"Ostrava červen",'CRM – Zájemci'!P5:P104,"Potvrzeno")</f>
        <v>0</v>
      </c>
    </row>
    <row r="18" ht="19.5" customHeight="1">
      <c r="B18" s="23" t="s">
        <v>78</v>
      </c>
      <c r="C18" s="24">
        <f>COUNTIFS('CRM – Zájemci'!F5:F104,"Ostrava červen",'CRM – Zájemci'!R5:R104,"✓ Ano")</f>
        <v>0</v>
      </c>
    </row>
    <row r="19" ht="19.5" customHeight="1">
      <c r="B19" s="23" t="s">
        <v>79</v>
      </c>
      <c r="C19" s="24">
        <f>COUNTIFS('CRM – Zájemci'!F5:F104,"Ostrava červen",'CRM – Zájemci'!P5:P104,"Čekací listina")</f>
        <v>0</v>
      </c>
    </row>
    <row r="21" ht="24.0" customHeight="1">
      <c r="A21" s="25" t="s">
        <v>82</v>
      </c>
      <c r="B21" s="2"/>
      <c r="C21" s="2"/>
      <c r="D21" s="2"/>
      <c r="E21" s="2"/>
      <c r="F21" s="3"/>
    </row>
    <row r="22" ht="19.5" customHeight="1">
      <c r="B22" s="23" t="s">
        <v>76</v>
      </c>
      <c r="C22" s="26">
        <f>COUNTIF('CRM – Zájemci'!F5:F104,"Praha červen")</f>
        <v>0</v>
      </c>
    </row>
    <row r="23" ht="19.5" customHeight="1">
      <c r="B23" s="23" t="s">
        <v>77</v>
      </c>
      <c r="C23" s="26">
        <f>COUNTIFS('CRM – Zájemci'!F5:F104,"Praha červen",'CRM – Zájemci'!P5:P104,"Potvrzeno")</f>
        <v>0</v>
      </c>
    </row>
    <row r="24" ht="19.5" customHeight="1">
      <c r="B24" s="23" t="s">
        <v>78</v>
      </c>
      <c r="C24" s="26">
        <f>COUNTIFS('CRM – Zájemci'!F5:F104,"Praha červen",'CRM – Zájemci'!R5:R104,"✓ Ano")</f>
        <v>0</v>
      </c>
    </row>
    <row r="25" ht="19.5" customHeight="1">
      <c r="B25" s="23" t="s">
        <v>79</v>
      </c>
      <c r="C25" s="26">
        <f>COUNTIFS('CRM – Zájemci'!F5:F104,"Praha červen",'CRM – Zájemci'!P5:P104,"Čekací listina")</f>
        <v>0</v>
      </c>
    </row>
    <row r="26" ht="15.75" customHeight="1"/>
    <row r="27" ht="24.0" customHeight="1">
      <c r="A27" s="25" t="s">
        <v>83</v>
      </c>
      <c r="B27" s="2"/>
      <c r="C27" s="2"/>
      <c r="D27" s="2"/>
      <c r="E27" s="2"/>
      <c r="F27" s="3"/>
    </row>
    <row r="28" ht="19.5" customHeight="1">
      <c r="B28" s="23" t="s">
        <v>76</v>
      </c>
      <c r="C28" s="26">
        <f>COUNTIF('CRM – Zájemci'!F5:F104,"Praha červenec")</f>
        <v>0</v>
      </c>
    </row>
    <row r="29" ht="19.5" customHeight="1">
      <c r="B29" s="23" t="s">
        <v>77</v>
      </c>
      <c r="C29" s="26">
        <f>COUNTIFS('CRM – Zájemci'!F5:F104,"Praha červenec",'CRM – Zájemci'!P5:P104,"Potvrzeno")</f>
        <v>0</v>
      </c>
    </row>
    <row r="30" ht="19.5" customHeight="1">
      <c r="B30" s="23" t="s">
        <v>78</v>
      </c>
      <c r="C30" s="26">
        <f>COUNTIFS('CRM – Zájemci'!F5:F104,"Praha červenec",'CRM – Zájemci'!R5:R104,"✓ Ano")</f>
        <v>0</v>
      </c>
    </row>
    <row r="31" ht="19.5" customHeight="1">
      <c r="B31" s="23" t="s">
        <v>79</v>
      </c>
      <c r="C31" s="26">
        <f>COUNTIFS('CRM – Zájemci'!F5:F104,"Praha červenec",'CRM – Zájemci'!P5:P104,"Čekací listina")</f>
        <v>0</v>
      </c>
    </row>
    <row r="32" ht="15.75" customHeight="1"/>
    <row r="33" ht="24.0" customHeight="1">
      <c r="A33" s="27" t="s">
        <v>84</v>
      </c>
      <c r="B33" s="2"/>
      <c r="C33" s="2"/>
      <c r="D33" s="2"/>
      <c r="E33" s="2"/>
      <c r="F33" s="3"/>
    </row>
    <row r="34" ht="19.5" customHeight="1">
      <c r="B34" s="23" t="s">
        <v>76</v>
      </c>
      <c r="C34" s="28">
        <f>COUNTIF('CRM – Zájemci'!F5:F104,"Brno jaro")</f>
        <v>0</v>
      </c>
    </row>
    <row r="35" ht="19.5" customHeight="1">
      <c r="B35" s="23" t="s">
        <v>77</v>
      </c>
      <c r="C35" s="28">
        <f>COUNTIFS('CRM – Zájemci'!F5:F104,"Brno jaro",'CRM – Zájemci'!P5:P104,"Potvrzeno")</f>
        <v>0</v>
      </c>
    </row>
    <row r="36" ht="19.5" customHeight="1">
      <c r="B36" s="23" t="s">
        <v>78</v>
      </c>
      <c r="C36" s="28">
        <f>COUNTIFS('CRM – Zájemci'!F5:F104,"Brno jaro",'CRM – Zájemci'!R5:R104,"✓ Ano")</f>
        <v>0</v>
      </c>
    </row>
    <row r="37" ht="19.5" customHeight="1">
      <c r="B37" s="23" t="s">
        <v>79</v>
      </c>
      <c r="C37" s="28">
        <f>COUNTIFS('CRM – Zájemci'!F5:F104,"Brno jaro",'CRM – Zájemci'!P5:P104,"Čekací listina")</f>
        <v>0</v>
      </c>
    </row>
    <row r="38" ht="15.75" customHeight="1"/>
    <row r="39" ht="24.0" customHeight="1">
      <c r="A39" s="27" t="s">
        <v>85</v>
      </c>
      <c r="B39" s="2"/>
      <c r="C39" s="2"/>
      <c r="D39" s="2"/>
      <c r="E39" s="2"/>
      <c r="F39" s="3"/>
    </row>
    <row r="40" ht="19.5" customHeight="1">
      <c r="B40" s="23" t="s">
        <v>76</v>
      </c>
      <c r="C40" s="28">
        <f>COUNTIF('CRM – Zájemci'!F5:F104,"Brno podzim")</f>
        <v>0</v>
      </c>
    </row>
    <row r="41" ht="19.5" customHeight="1">
      <c r="B41" s="23" t="s">
        <v>77</v>
      </c>
      <c r="C41" s="28">
        <f>COUNTIFS('CRM – Zájemci'!F5:F104,"Brno podzim",'CRM – Zájemci'!P5:P104,"Potvrzeno")</f>
        <v>0</v>
      </c>
    </row>
    <row r="42" ht="19.5" customHeight="1">
      <c r="B42" s="23" t="s">
        <v>78</v>
      </c>
      <c r="C42" s="28">
        <f>COUNTIFS('CRM – Zájemci'!F5:F104,"Brno podzim",'CRM – Zájemci'!R5:R104,"✓ Ano")</f>
        <v>0</v>
      </c>
    </row>
    <row r="43" ht="19.5" customHeight="1">
      <c r="B43" s="23" t="s">
        <v>79</v>
      </c>
      <c r="C43" s="28">
        <f>COUNTIFS('CRM – Zájemci'!F5:F104,"Brno podzim",'CRM – Zájemci'!P5:P104,"Čekací listina")</f>
        <v>0</v>
      </c>
    </row>
    <row r="44" ht="15.75" customHeight="1"/>
    <row r="45" ht="24.0" customHeight="1">
      <c r="A45" s="29" t="s">
        <v>86</v>
      </c>
      <c r="B45" s="2"/>
      <c r="C45" s="2"/>
      <c r="D45" s="2"/>
      <c r="E45" s="2"/>
      <c r="F45" s="3"/>
    </row>
    <row r="46" ht="19.5" customHeight="1">
      <c r="B46" s="23" t="s">
        <v>76</v>
      </c>
      <c r="C46" s="30">
        <f>COUNTIF('CRM – Zájemci'!F5:F104,"Moře září 2026")</f>
        <v>0</v>
      </c>
    </row>
    <row r="47" ht="19.5" customHeight="1">
      <c r="B47" s="23" t="s">
        <v>77</v>
      </c>
      <c r="C47" s="30">
        <f>COUNTIFS('CRM – Zájemci'!F5:F104,"Moře září 2026",'CRM – Zájemci'!P5:P104,"Potvrzeno")</f>
        <v>0</v>
      </c>
    </row>
    <row r="48" ht="19.5" customHeight="1">
      <c r="B48" s="23" t="s">
        <v>78</v>
      </c>
      <c r="C48" s="30">
        <f>COUNTIFS('CRM – Zájemci'!F5:F104,"Moře září 2026",'CRM – Zájemci'!R5:R104,"✓ Ano")</f>
        <v>0</v>
      </c>
    </row>
    <row r="49" ht="19.5" customHeight="1">
      <c r="B49" s="23" t="s">
        <v>79</v>
      </c>
      <c r="C49" s="30">
        <f>COUNTIFS('CRM – Zájemci'!F5:F104,"Moře září 2026",'CRM – Zájemci'!P5:P104,"Čekací listina")</f>
        <v>0</v>
      </c>
    </row>
    <row r="50" ht="15.75" customHeight="1"/>
    <row r="51" ht="24.0" customHeight="1">
      <c r="A51" s="31" t="s">
        <v>87</v>
      </c>
      <c r="B51" s="2"/>
      <c r="C51" s="2"/>
      <c r="D51" s="2"/>
      <c r="E51" s="2"/>
      <c r="F51" s="3"/>
    </row>
    <row r="52" ht="19.5" customHeight="1">
      <c r="B52" s="23" t="s">
        <v>76</v>
      </c>
      <c r="C52" s="32">
        <f>COUNTIF('CRM – Zájemci'!F5:F104,"Jachta 2026")</f>
        <v>0</v>
      </c>
    </row>
    <row r="53" ht="19.5" customHeight="1">
      <c r="B53" s="23" t="s">
        <v>77</v>
      </c>
      <c r="C53" s="32">
        <f>COUNTIFS('CRM – Zájemci'!F5:F104,"Jachta 2026",'CRM – Zájemci'!P5:P104,"Potvrzeno")</f>
        <v>0</v>
      </c>
    </row>
    <row r="54" ht="19.5" customHeight="1">
      <c r="B54" s="23" t="s">
        <v>78</v>
      </c>
      <c r="C54" s="32">
        <f>COUNTIFS('CRM – Zájemci'!F5:F104,"Jachta 2026",'CRM – Zájemci'!R5:R104,"✓ Ano")</f>
        <v>0</v>
      </c>
    </row>
    <row r="55" ht="19.5" customHeight="1">
      <c r="B55" s="23" t="s">
        <v>79</v>
      </c>
      <c r="C55" s="32">
        <f>COUNTIFS('CRM – Zájemci'!F5:F104,"Jachta 2026",'CRM – Zájemci'!P5:P104,"Čekací listina")</f>
        <v>0</v>
      </c>
    </row>
    <row r="56" ht="15.75" customHeight="1"/>
    <row r="57" ht="24.0" customHeight="1">
      <c r="A57" s="33" t="s">
        <v>88</v>
      </c>
      <c r="B57" s="2"/>
      <c r="C57" s="2"/>
      <c r="D57" s="2"/>
      <c r="E57" s="2"/>
      <c r="F57" s="3"/>
    </row>
    <row r="58" ht="19.5" customHeight="1">
      <c r="B58" s="23" t="s">
        <v>76</v>
      </c>
      <c r="C58" s="34">
        <f>COUNTIF('CRM – Zájemci'!F5:F104,"Víkendovka říjen")</f>
        <v>0</v>
      </c>
    </row>
    <row r="59" ht="19.5" customHeight="1">
      <c r="B59" s="23" t="s">
        <v>77</v>
      </c>
      <c r="C59" s="34">
        <f>COUNTIFS('CRM – Zájemci'!F5:F104,"Víkendovka říjen",'CRM – Zájemci'!P5:P104,"Potvrzeno")</f>
        <v>0</v>
      </c>
    </row>
    <row r="60" ht="19.5" customHeight="1">
      <c r="B60" s="23" t="s">
        <v>78</v>
      </c>
      <c r="C60" s="34">
        <f>COUNTIFS('CRM – Zájemci'!F5:F104,"Víkendovka říjen",'CRM – Zájemci'!R5:R104,"✓ Ano")</f>
        <v>0</v>
      </c>
    </row>
    <row r="61" ht="19.5" customHeight="1">
      <c r="B61" s="23" t="s">
        <v>79</v>
      </c>
      <c r="C61" s="34">
        <f>COUNTIFS('CRM – Zájemci'!F5:F104,"Víkendovka říjen",'CRM – Zájemci'!P5:P104,"Čekací listina")</f>
        <v>0</v>
      </c>
    </row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A39:F39"/>
    <mergeCell ref="A45:F45"/>
    <mergeCell ref="A51:F51"/>
    <mergeCell ref="A57:F57"/>
    <mergeCell ref="A1:F1"/>
    <mergeCell ref="A3:F3"/>
    <mergeCell ref="A9:F9"/>
    <mergeCell ref="A15:F15"/>
    <mergeCell ref="A21:F21"/>
    <mergeCell ref="A27:F27"/>
    <mergeCell ref="A33:F33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0"/>
    <col customWidth="1" min="2" max="2" width="52.0"/>
    <col customWidth="1" min="3" max="26" width="8.71"/>
  </cols>
  <sheetData>
    <row r="1" ht="27.75" customHeight="1">
      <c r="A1" s="35" t="s">
        <v>89</v>
      </c>
      <c r="B1" s="3"/>
    </row>
    <row r="3" ht="21.75" customHeight="1">
      <c r="A3" s="36" t="s">
        <v>90</v>
      </c>
      <c r="B3" s="37" t="s">
        <v>91</v>
      </c>
    </row>
    <row r="4" ht="21.75" customHeight="1">
      <c r="A4" s="38" t="s">
        <v>92</v>
      </c>
      <c r="B4" s="39" t="s">
        <v>93</v>
      </c>
    </row>
    <row r="5" ht="21.75" customHeight="1">
      <c r="A5" s="36" t="s">
        <v>94</v>
      </c>
      <c r="B5" s="37" t="s">
        <v>95</v>
      </c>
    </row>
    <row r="6" ht="21.75" customHeight="1">
      <c r="A6" s="38" t="s">
        <v>96</v>
      </c>
      <c r="B6" s="40" t="s">
        <v>97</v>
      </c>
    </row>
    <row r="7" ht="21.75" customHeight="1">
      <c r="A7" s="36" t="s">
        <v>98</v>
      </c>
      <c r="B7" s="37" t="s">
        <v>99</v>
      </c>
    </row>
    <row r="8" ht="21.75" customHeight="1">
      <c r="A8" s="38" t="s">
        <v>100</v>
      </c>
      <c r="B8" s="40" t="s">
        <v>101</v>
      </c>
    </row>
    <row r="9" ht="21.75" customHeight="1">
      <c r="A9" s="36" t="s">
        <v>102</v>
      </c>
      <c r="B9" s="37" t="s">
        <v>103</v>
      </c>
    </row>
    <row r="10" ht="21.75" customHeight="1">
      <c r="A10" s="38" t="s">
        <v>104</v>
      </c>
      <c r="B10" s="40" t="s">
        <v>105</v>
      </c>
    </row>
    <row r="11" ht="21.75" customHeight="1">
      <c r="A11" s="36" t="s">
        <v>106</v>
      </c>
      <c r="B11" s="37" t="s">
        <v>107</v>
      </c>
    </row>
    <row r="12" ht="21.75" customHeight="1">
      <c r="A12" s="38" t="s">
        <v>108</v>
      </c>
      <c r="B12" s="41" t="s">
        <v>109</v>
      </c>
    </row>
    <row r="13" ht="21.75" customHeight="1">
      <c r="A13" s="36" t="s">
        <v>110</v>
      </c>
      <c r="B13" s="42" t="s">
        <v>111</v>
      </c>
    </row>
    <row r="14" ht="21.75" customHeight="1">
      <c r="A14" s="38" t="s">
        <v>112</v>
      </c>
      <c r="B14" s="40" t="s">
        <v>113</v>
      </c>
    </row>
    <row r="15" ht="21.75" customHeight="1">
      <c r="A15" s="36" t="s">
        <v>27</v>
      </c>
      <c r="B15" s="37" t="s">
        <v>114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B1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2026-03-09T17:21:03Z</dcterms:created>
  <dc:creator>openpyxl</dc:creator>
</cp:coreProperties>
</file>